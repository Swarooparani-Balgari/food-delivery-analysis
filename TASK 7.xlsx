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"/>
    </mc:Choice>
  </mc:AlternateContent>
  <xr:revisionPtr revIDLastSave="0" documentId="8_{A2B20DBD-F83D-4C62-905E-FA53346CE24F}" xr6:coauthVersionLast="47" xr6:coauthVersionMax="47" xr10:uidLastSave="{00000000-0000-0000-0000-000000000000}"/>
  <bookViews>
    <workbookView xWindow="-108" yWindow="-108" windowWidth="23256" windowHeight="12456" tabRatio="667" firstSheet="1" activeTab="5" xr2:uid="{6F40753E-006E-4B3B-8278-5FBAFF2A0987}"/>
  </bookViews>
  <sheets>
    <sheet name="Revenue by Cuisine" sheetId="2" r:id="rId1"/>
    <sheet name="Revenue by City" sheetId="3" r:id="rId2"/>
    <sheet name="Orders by Restaurant" sheetId="4" r:id="rId3"/>
    <sheet name="Revenue by Restaurant" sheetId="5" r:id="rId4"/>
    <sheet name="Delivery_Time by Cuisine" sheetId="6" r:id="rId5"/>
    <sheet name="Dataset" sheetId="1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6" l="1"/>
  <c r="B12" i="5"/>
  <c r="B12" i="4"/>
  <c r="B11" i="3"/>
  <c r="B11" i="2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<sst xmlns="http://schemas.openxmlformats.org/spreadsheetml/2006/main" count="81" uniqueCount="31">
  <si>
    <t>OrderID</t>
  </si>
  <si>
    <t>OrderDate</t>
  </si>
  <si>
    <t>City</t>
  </si>
  <si>
    <t>Restaurant</t>
  </si>
  <si>
    <t>Cuisine</t>
  </si>
  <si>
    <t>DeliveryTime_Min</t>
  </si>
  <si>
    <t>Orders</t>
  </si>
  <si>
    <t>AvgPrice</t>
  </si>
  <si>
    <t>Delhi</t>
  </si>
  <si>
    <t>Spice Hub</t>
  </si>
  <si>
    <t>Indian</t>
  </si>
  <si>
    <t>Mumbai</t>
  </si>
  <si>
    <t>Pizza Town</t>
  </si>
  <si>
    <t>Italian</t>
  </si>
  <si>
    <t>Bangalore</t>
  </si>
  <si>
    <t>Wok Express</t>
  </si>
  <si>
    <t>Chinese</t>
  </si>
  <si>
    <t>Burger Point</t>
  </si>
  <si>
    <t>Fast Food</t>
  </si>
  <si>
    <t>Hyderabad</t>
  </si>
  <si>
    <t>Biryani House</t>
  </si>
  <si>
    <t>Revenue</t>
  </si>
  <si>
    <t>Grand Total</t>
  </si>
  <si>
    <t>Sum of Revenue</t>
  </si>
  <si>
    <t>Cuisine which has highest revenue</t>
  </si>
  <si>
    <t>City which has most revenue</t>
  </si>
  <si>
    <t>Sum of Orders</t>
  </si>
  <si>
    <t>Restaurant which has most orders</t>
  </si>
  <si>
    <t>Highest Revenue Restaurant</t>
  </si>
  <si>
    <t>Average of DeliveryTime_Min</t>
  </si>
  <si>
    <t>Fastest Delivery Cuisine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</si>
</sst>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7.xlsx]Revenue by Cuisine!PivotTable1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Cuisine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>
                <a:lumMod val="75000"/>
                <a:lumOff val="25000"/>
                <a:alpha val="6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solidFill>
              <a:schemeClr val="tx1">
                <a:lumMod val="75000"/>
                <a:lumOff val="25000"/>
                <a:alpha val="6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solidFill>
              <a:schemeClr val="tx1">
                <a:lumMod val="75000"/>
                <a:lumOff val="25000"/>
                <a:alpha val="6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chemeClr val="accent2">
              <a:lumMod val="75000"/>
            </a:schemeClr>
          </a:solidFill>
          <a:ln>
            <a:solidFill>
              <a:schemeClr val="tx1">
                <a:lumMod val="75000"/>
                <a:lumOff val="25000"/>
                <a:alpha val="6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solidFill>
              <a:schemeClr val="tx1">
                <a:lumMod val="75000"/>
                <a:lumOff val="25000"/>
                <a:alpha val="6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Cuisine'!$B$3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>
                  <a:lumMod val="75000"/>
                  <a:lumOff val="25000"/>
                  <a:alpha val="6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tx1">
                    <a:lumMod val="75000"/>
                    <a:lumOff val="25000"/>
                    <a:alpha val="6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93-402F-BEEE-882E136B8B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tx1">
                    <a:lumMod val="75000"/>
                    <a:lumOff val="25000"/>
                    <a:alpha val="6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993-402F-BEEE-882E136B8B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tx1">
                    <a:lumMod val="75000"/>
                    <a:lumOff val="25000"/>
                    <a:alpha val="6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7993-402F-BEEE-882E136B8B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tx1">
                    <a:lumMod val="75000"/>
                    <a:lumOff val="25000"/>
                    <a:alpha val="6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93-402F-BEEE-882E136B8B9E}"/>
              </c:ext>
            </c:extLst>
          </c:dPt>
          <c:cat>
            <c:strRef>
              <c:f>'Revenue by Cuisine'!$A$4:$A$8</c:f>
              <c:strCache>
                <c:ptCount val="4"/>
                <c:pt idx="0">
                  <c:v>Fast Food</c:v>
                </c:pt>
                <c:pt idx="1">
                  <c:v>Italian</c:v>
                </c:pt>
                <c:pt idx="2">
                  <c:v>Chinese</c:v>
                </c:pt>
                <c:pt idx="3">
                  <c:v>Indian</c:v>
                </c:pt>
              </c:strCache>
            </c:strRef>
          </c:cat>
          <c:val>
            <c:numRef>
              <c:f>'Revenue by Cuisine'!$B$4:$B$8</c:f>
              <c:numCache>
                <c:formatCode>General</c:formatCode>
                <c:ptCount val="4"/>
                <c:pt idx="0">
                  <c:v>1000</c:v>
                </c:pt>
                <c:pt idx="1">
                  <c:v>1000</c:v>
                </c:pt>
                <c:pt idx="2">
                  <c:v>1250</c:v>
                </c:pt>
                <c:pt idx="3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1-4A68-B9C4-473CF5571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20179792"/>
        <c:axId val="1620182192"/>
      </c:barChart>
      <c:catAx>
        <c:axId val="162017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82192"/>
        <c:crosses val="autoZero"/>
        <c:auto val="1"/>
        <c:lblAlgn val="ctr"/>
        <c:lblOffset val="100"/>
        <c:noMultiLvlLbl val="0"/>
      </c:catAx>
      <c:valAx>
        <c:axId val="162018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79792"/>
        <c:crosses val="autoZero"/>
        <c:crossBetween val="between"/>
      </c:valAx>
      <c:spPr>
        <a:solidFill>
          <a:schemeClr val="bg2">
            <a:lumMod val="75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>
      <a:glow rad="127000">
        <a:schemeClr val="bg1"/>
      </a:glow>
    </a:effectLst>
  </c:spPr>
  <c:txPr>
    <a:bodyPr/>
    <a:lstStyle/>
    <a:p>
      <a:pPr>
        <a:defRPr>
          <a:ln>
            <a:noFill/>
          </a:ln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7.xlsx]Revenue by City!PivotTable2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'Revenue by City'!$A$4:$A$8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Bangalore</c:v>
                </c:pt>
                <c:pt idx="3">
                  <c:v>Hyderabad</c:v>
                </c:pt>
              </c:strCache>
            </c:strRef>
          </c:cat>
          <c:val>
            <c:numRef>
              <c:f>'Revenue by City'!$B$4:$B$8</c:f>
              <c:numCache>
                <c:formatCode>General</c:formatCode>
                <c:ptCount val="4"/>
                <c:pt idx="0">
                  <c:v>1800</c:v>
                </c:pt>
                <c:pt idx="1">
                  <c:v>1550</c:v>
                </c:pt>
                <c:pt idx="2">
                  <c:v>1250</c:v>
                </c:pt>
                <c:pt idx="3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A-490C-819A-9B1FFAF41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0196112"/>
        <c:axId val="1620195632"/>
      </c:barChart>
      <c:catAx>
        <c:axId val="162019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95632"/>
        <c:crosses val="autoZero"/>
        <c:auto val="1"/>
        <c:lblAlgn val="ctr"/>
        <c:lblOffset val="100"/>
        <c:noMultiLvlLbl val="0"/>
      </c:catAx>
      <c:valAx>
        <c:axId val="16201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96112"/>
        <c:crosses val="autoZero"/>
        <c:crossBetween val="between"/>
      </c:valAx>
      <c:spPr>
        <a:solidFill>
          <a:schemeClr val="tx2">
            <a:lumMod val="60000"/>
            <a:lumOff val="40000"/>
          </a:schemeClr>
        </a:solidFill>
        <a:ln w="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60000"/>
        <a:lumOff val="40000"/>
      </a:schemeClr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1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7.xlsx]Orders by Restaurant!PivotTable3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75000"/>
                    <a:alpha val="84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Restaurant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75000"/>
                  <a:alpha val="84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75000"/>
                      <a:alpha val="84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'Orders by Restaurant'!$B$3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4F-4A2E-B343-20006D99A2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4F-4A2E-B343-20006D99A2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4F-4A2E-B343-20006D99A2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54F-4A2E-B343-20006D99A2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54F-4A2E-B343-20006D99A25B}"/>
              </c:ext>
            </c:extLst>
          </c:dPt>
          <c:cat>
            <c:strRef>
              <c:f>'Orders by Restaurant'!$A$4:$A$9</c:f>
              <c:strCache>
                <c:ptCount val="5"/>
                <c:pt idx="0">
                  <c:v>Wok Express</c:v>
                </c:pt>
                <c:pt idx="1">
                  <c:v>Burger Point</c:v>
                </c:pt>
                <c:pt idx="2">
                  <c:v>Spice Hub</c:v>
                </c:pt>
                <c:pt idx="3">
                  <c:v>Biryani House</c:v>
                </c:pt>
                <c:pt idx="4">
                  <c:v>Pizza Town</c:v>
                </c:pt>
              </c:strCache>
            </c:strRef>
          </c:cat>
          <c:val>
            <c:numRef>
              <c:f>'Orders by Restaurant'!$B$4:$B$9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DDF-AD67-0F3C62745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4">
                  <a:lumMod val="75000"/>
                  <a:alpha val="84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50000"/>
      </a:schemeClr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>
          <a:solidFill>
            <a:schemeClr val="accent4">
              <a:lumMod val="75000"/>
              <a:alpha val="84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7.xlsx]Revenue by Restaurant!PivotTable4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Restaurant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Restaurant'!$B$3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05-4BE2-B870-7CC0200EE64F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05-4BE2-B870-7CC0200EE64F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905-4BE2-B870-7CC0200EE64F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05-4BE2-B870-7CC0200EE64F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05-4BE2-B870-7CC0200EE64F}"/>
              </c:ext>
            </c:extLst>
          </c:dPt>
          <c:cat>
            <c:strRef>
              <c:f>'Revenue by Restaurant'!$A$4:$A$9</c:f>
              <c:strCache>
                <c:ptCount val="5"/>
                <c:pt idx="0">
                  <c:v>Biryani House</c:v>
                </c:pt>
                <c:pt idx="1">
                  <c:v>Pizza Town</c:v>
                </c:pt>
                <c:pt idx="2">
                  <c:v>Burger Point</c:v>
                </c:pt>
                <c:pt idx="3">
                  <c:v>Wok Express</c:v>
                </c:pt>
                <c:pt idx="4">
                  <c:v>Spice Hub</c:v>
                </c:pt>
              </c:strCache>
            </c:strRef>
          </c:cat>
          <c:val>
            <c:numRef>
              <c:f>'Revenue by Restaurant'!$B$4:$B$9</c:f>
              <c:numCache>
                <c:formatCode>General</c:formatCode>
                <c:ptCount val="5"/>
                <c:pt idx="0">
                  <c:v>900</c:v>
                </c:pt>
                <c:pt idx="1">
                  <c:v>1000</c:v>
                </c:pt>
                <c:pt idx="2">
                  <c:v>1000</c:v>
                </c:pt>
                <c:pt idx="3">
                  <c:v>1250</c:v>
                </c:pt>
                <c:pt idx="4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C-4ED2-A7F2-DCD043AA3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20165392"/>
        <c:axId val="1620172592"/>
      </c:barChart>
      <c:catAx>
        <c:axId val="1620165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72592"/>
        <c:crosses val="autoZero"/>
        <c:auto val="1"/>
        <c:lblAlgn val="ctr"/>
        <c:lblOffset val="100"/>
        <c:noMultiLvlLbl val="0"/>
      </c:catAx>
      <c:valAx>
        <c:axId val="162017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65392"/>
        <c:crosses val="autoZero"/>
        <c:crossBetween val="between"/>
      </c:valAx>
      <c:spPr>
        <a:solidFill>
          <a:schemeClr val="accent6">
            <a:lumMod val="60000"/>
            <a:lumOff val="4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>
          <a:solidFill>
            <a:schemeClr val="bg2">
              <a:lumMod val="1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7.xlsx]Delivery_Time by Cuisine!PivotTable5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Delivery_Time by Cuisine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'Delivery_Time by Cuisine'!$B$3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'Delivery_Time by Cuisine'!$A$4:$A$8</c:f>
              <c:strCache>
                <c:ptCount val="4"/>
                <c:pt idx="0">
                  <c:v>Chinese</c:v>
                </c:pt>
                <c:pt idx="1">
                  <c:v>Fast Food</c:v>
                </c:pt>
                <c:pt idx="2">
                  <c:v>Indian</c:v>
                </c:pt>
                <c:pt idx="3">
                  <c:v>Italian</c:v>
                </c:pt>
              </c:strCache>
            </c:strRef>
          </c:cat>
          <c:val>
            <c:numRef>
              <c:f>'Delivery_Time by Cuisine'!$B$4:$B$8</c:f>
              <c:numCache>
                <c:formatCode>General</c:formatCode>
                <c:ptCount val="4"/>
                <c:pt idx="0">
                  <c:v>36.5</c:v>
                </c:pt>
                <c:pt idx="1">
                  <c:v>21</c:v>
                </c:pt>
                <c:pt idx="2">
                  <c:v>35</c:v>
                </c:pt>
                <c:pt idx="3">
                  <c:v>28.5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D9-4C75-A6B8-938A0FD43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0163952"/>
        <c:axId val="1620164432"/>
      </c:lineChart>
      <c:catAx>
        <c:axId val="162016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64432"/>
        <c:crosses val="autoZero"/>
        <c:auto val="1"/>
        <c:lblAlgn val="ctr"/>
        <c:lblOffset val="100"/>
        <c:noMultiLvlLbl val="0"/>
      </c:catAx>
      <c:valAx>
        <c:axId val="162016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6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>
          <a:solidFill>
            <a:schemeClr val="bg2">
              <a:lumMod val="1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102870</xdr:rowOff>
    </xdr:from>
    <xdr:to>
      <xdr:col>13</xdr:col>
      <xdr:colOff>198120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E622C-3621-EF40-1223-ACCC7D0B2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0</xdr:row>
      <xdr:rowOff>87630</xdr:rowOff>
    </xdr:from>
    <xdr:to>
      <xdr:col>13</xdr:col>
      <xdr:colOff>60960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63048E-AA6F-4507-7BC1-EF2F4E289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11430</xdr:rowOff>
    </xdr:from>
    <xdr:to>
      <xdr:col>12</xdr:col>
      <xdr:colOff>601980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9D8ED-26BF-990E-9888-3E9263990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179070</xdr:rowOff>
    </xdr:from>
    <xdr:to>
      <xdr:col>13</xdr:col>
      <xdr:colOff>38100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E584C7-1A95-95B9-9B68-21898E6F5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87630</xdr:rowOff>
    </xdr:from>
    <xdr:to>
      <xdr:col>13</xdr:col>
      <xdr:colOff>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3E38FC-D581-506F-64DA-A2C2F0C59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5.845975231481" createdVersion="8" refreshedVersion="8" minRefreshableVersion="3" recordCount="10" xr:uid="{93E20417-1A2E-41BF-AD1B-47D47D3857AE}">
  <cacheSource type="worksheet">
    <worksheetSource ref="A1:I11" sheet="Dataset"/>
  </cacheSource>
  <cacheFields count="9">
    <cacheField name="OrderID" numFmtId="0">
      <sharedItems containsSemiMixedTypes="0" containsString="0" containsNumber="1" containsInteger="1" minValue="5001" maxValue="5010"/>
    </cacheField>
    <cacheField name="OrderDate" numFmtId="14">
      <sharedItems containsSemiMixedTypes="0" containsNonDate="0" containsDate="1" containsString="0" minDate="2026-03-10T00:00:00" maxDate="2026-03-15T00:00:00"/>
    </cacheField>
    <cacheField name="City" numFmtId="0">
      <sharedItems count="4">
        <s v="Delhi"/>
        <s v="Mumbai"/>
        <s v="Bangalore"/>
        <s v="Hyderabad"/>
      </sharedItems>
    </cacheField>
    <cacheField name="Restaurant" numFmtId="0">
      <sharedItems count="5">
        <s v="Spice Hub"/>
        <s v="Pizza Town"/>
        <s v="Wok Express"/>
        <s v="Burger Point"/>
        <s v="Biryani House"/>
      </sharedItems>
    </cacheField>
    <cacheField name="Cuisine" numFmtId="0">
      <sharedItems count="4">
        <s v="Indian"/>
        <s v="Italian"/>
        <s v="Chinese"/>
        <s v="Fast Food"/>
      </sharedItems>
    </cacheField>
    <cacheField name="DeliveryTime_Min" numFmtId="0">
      <sharedItems containsSemiMixedTypes="0" containsString="0" containsNumber="1" containsInteger="1" minValue="20" maxValue="42" count="10">
        <n v="30"/>
        <n v="25"/>
        <n v="35"/>
        <n v="20"/>
        <n v="40"/>
        <n v="28"/>
        <n v="32"/>
        <n v="38"/>
        <n v="42"/>
        <n v="22"/>
      </sharedItems>
    </cacheField>
    <cacheField name="Orders" numFmtId="0">
      <sharedItems containsSemiMixedTypes="0" containsString="0" containsNumber="1" containsInteger="1" minValue="1" maxValue="3" count="3">
        <n v="2"/>
        <n v="1"/>
        <n v="3"/>
      </sharedItems>
    </cacheField>
    <cacheField name="AvgPrice" numFmtId="0">
      <sharedItems containsSemiMixedTypes="0" containsString="0" containsNumber="1" containsInteger="1" minValue="200" maxValue="500"/>
    </cacheField>
    <cacheField name="Revenue" numFmtId="0">
      <sharedItems containsSemiMixedTypes="0" containsString="0" containsNumber="1" containsInteger="1" minValue="400" maxValue="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5001"/>
    <d v="2026-03-10T00:00:00"/>
    <x v="0"/>
    <x v="0"/>
    <x v="0"/>
    <x v="0"/>
    <x v="0"/>
    <n v="350"/>
    <n v="700"/>
  </r>
  <r>
    <n v="5002"/>
    <d v="2026-03-10T00:00:00"/>
    <x v="1"/>
    <x v="1"/>
    <x v="1"/>
    <x v="1"/>
    <x v="1"/>
    <n v="500"/>
    <n v="500"/>
  </r>
  <r>
    <n v="5003"/>
    <d v="2026-03-11T00:00:00"/>
    <x v="2"/>
    <x v="2"/>
    <x v="2"/>
    <x v="2"/>
    <x v="2"/>
    <n v="250"/>
    <n v="750"/>
  </r>
  <r>
    <n v="5004"/>
    <d v="2026-03-11T00:00:00"/>
    <x v="0"/>
    <x v="3"/>
    <x v="3"/>
    <x v="3"/>
    <x v="0"/>
    <n v="200"/>
    <n v="400"/>
  </r>
  <r>
    <n v="5005"/>
    <d v="2026-03-12T00:00:00"/>
    <x v="3"/>
    <x v="4"/>
    <x v="0"/>
    <x v="4"/>
    <x v="1"/>
    <n v="450"/>
    <n v="450"/>
  </r>
  <r>
    <n v="5006"/>
    <d v="2026-03-12T00:00:00"/>
    <x v="1"/>
    <x v="0"/>
    <x v="0"/>
    <x v="5"/>
    <x v="0"/>
    <n v="350"/>
    <n v="700"/>
  </r>
  <r>
    <n v="5007"/>
    <d v="2026-03-13T00:00:00"/>
    <x v="2"/>
    <x v="1"/>
    <x v="1"/>
    <x v="6"/>
    <x v="1"/>
    <n v="500"/>
    <n v="500"/>
  </r>
  <r>
    <n v="5008"/>
    <d v="2026-03-13T00:00:00"/>
    <x v="3"/>
    <x v="2"/>
    <x v="2"/>
    <x v="7"/>
    <x v="0"/>
    <n v="250"/>
    <n v="500"/>
  </r>
  <r>
    <n v="5009"/>
    <d v="2026-03-14T00:00:00"/>
    <x v="0"/>
    <x v="4"/>
    <x v="0"/>
    <x v="8"/>
    <x v="1"/>
    <n v="450"/>
    <n v="450"/>
  </r>
  <r>
    <n v="5010"/>
    <d v="2026-03-14T00:00:00"/>
    <x v="1"/>
    <x v="3"/>
    <x v="3"/>
    <x v="9"/>
    <x v="2"/>
    <n v="200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AB8F9-6787-4E5D-BE31-DE5F1C34590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uisine">
  <location ref="A3:B8" firstHeaderRow="1" firstDataRow="1" firstDataCol="1"/>
  <pivotFields count="9">
    <pivotField showAll="0"/>
    <pivotField numFmtId="14"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4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Revenue" fld="8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E813F-7793-4AF3-AE0E-D2325BFFCA2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ity">
  <location ref="A3:B8" firstHeaderRow="1" firstDataRow="1" firstDataCol="1"/>
  <pivotFields count="9">
    <pivotField showAll="0"/>
    <pivotField numFmtId="14"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Revenue" fld="8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9CB9B-CB86-4B27-B663-6F5FDE372C0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staurant">
  <location ref="A3:B9" firstHeaderRow="1" firstDataRow="1" firstDataCol="1"/>
  <pivotFields count="9">
    <pivotField showAll="0"/>
    <pivotField numFmtId="14" showAll="0"/>
    <pivotField showAll="0"/>
    <pivotField axis="axisRow" showAll="0" sortType="descending">
      <items count="6">
        <item x="4"/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3"/>
  </rowFields>
  <rowItems count="6">
    <i>
      <x v="4"/>
    </i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Orders" fld="6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59DF2-21E3-49E9-8449-C1DE0920004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estaurant">
  <location ref="A3:B9" firstHeaderRow="1" firstDataRow="1" firstDataCol="1"/>
  <pivotFields count="9">
    <pivotField showAll="0"/>
    <pivotField numFmtId="14" showAll="0"/>
    <pivotField showAll="0"/>
    <pivotField axis="axisRow" showAll="0" sortType="ascending">
      <items count="6">
        <item x="4"/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name="Sum of Revenue" fld="8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4D38C-A58F-4B59-A917-85E467E94BE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uisine">
  <location ref="A3:B8" firstHeaderRow="1" firstDataRow="1" firstDataCol="1"/>
  <pivotFields count="9">
    <pivotField showAll="0"/>
    <pivotField numFmtId="14"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</pivotField>
    <pivotField dataField="1" showAll="0">
      <items count="11">
        <item x="3"/>
        <item x="9"/>
        <item x="1"/>
        <item x="5"/>
        <item x="0"/>
        <item x="6"/>
        <item x="2"/>
        <item x="7"/>
        <item x="4"/>
        <item x="8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liveryTime_Min" fld="5" subtotal="average" baseField="4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683F5-CB88-478E-8EAA-FFB0E47A7280}">
  <dimension ref="A3:B11"/>
  <sheetViews>
    <sheetView workbookViewId="0">
      <selection activeCell="N24" sqref="N24"/>
    </sheetView>
  </sheetViews>
  <sheetFormatPr defaultRowHeight="14.4" x14ac:dyDescent="0.3"/>
  <cols>
    <col min="1" max="1" width="30.21875" style="7" bestFit="1" customWidth="1"/>
    <col min="2" max="2" width="14.88671875" style="7" bestFit="1" customWidth="1"/>
    <col min="3" max="16384" width="8.88671875" style="7"/>
  </cols>
  <sheetData>
    <row r="3" spans="1:2" x14ac:dyDescent="0.3">
      <c r="A3" s="8" t="s">
        <v>4</v>
      </c>
      <c r="B3" s="7" t="s">
        <v>23</v>
      </c>
    </row>
    <row r="4" spans="1:2" x14ac:dyDescent="0.3">
      <c r="A4" s="7" t="s">
        <v>18</v>
      </c>
      <c r="B4" s="7">
        <v>1000</v>
      </c>
    </row>
    <row r="5" spans="1:2" x14ac:dyDescent="0.3">
      <c r="A5" s="7" t="s">
        <v>13</v>
      </c>
      <c r="B5" s="7">
        <v>1000</v>
      </c>
    </row>
    <row r="6" spans="1:2" x14ac:dyDescent="0.3">
      <c r="A6" s="7" t="s">
        <v>16</v>
      </c>
      <c r="B6" s="7">
        <v>1250</v>
      </c>
    </row>
    <row r="7" spans="1:2" x14ac:dyDescent="0.3">
      <c r="A7" s="7" t="s">
        <v>10</v>
      </c>
      <c r="B7" s="7">
        <v>2300</v>
      </c>
    </row>
    <row r="8" spans="1:2" x14ac:dyDescent="0.3">
      <c r="A8" s="7" t="s">
        <v>22</v>
      </c>
      <c r="B8" s="7">
        <v>5550</v>
      </c>
    </row>
    <row r="11" spans="1:2" x14ac:dyDescent="0.3">
      <c r="A11" s="9" t="s">
        <v>24</v>
      </c>
      <c r="B11" s="9" t="str">
        <f>_xlfn.XLOOKUP(MAX(B4:B7),B4:B7,A4:A7,,0)</f>
        <v>Indian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FABB-2035-4193-97A9-4BA2ABAE514A}">
  <dimension ref="A3:B11"/>
  <sheetViews>
    <sheetView workbookViewId="0">
      <selection activeCell="O18" sqref="O18"/>
    </sheetView>
  </sheetViews>
  <sheetFormatPr defaultRowHeight="14.4" x14ac:dyDescent="0.3"/>
  <cols>
    <col min="1" max="1" width="24.44140625" style="7" bestFit="1" customWidth="1"/>
    <col min="2" max="2" width="14.88671875" style="7" bestFit="1" customWidth="1"/>
    <col min="3" max="16384" width="8.88671875" style="7"/>
  </cols>
  <sheetData>
    <row r="3" spans="1:2" x14ac:dyDescent="0.3">
      <c r="A3" s="8" t="s">
        <v>2</v>
      </c>
      <c r="B3" s="7" t="s">
        <v>23</v>
      </c>
    </row>
    <row r="4" spans="1:2" x14ac:dyDescent="0.3">
      <c r="A4" s="7" t="s">
        <v>11</v>
      </c>
      <c r="B4" s="7">
        <v>1800</v>
      </c>
    </row>
    <row r="5" spans="1:2" x14ac:dyDescent="0.3">
      <c r="A5" s="7" t="s">
        <v>8</v>
      </c>
      <c r="B5" s="7">
        <v>1550</v>
      </c>
    </row>
    <row r="6" spans="1:2" x14ac:dyDescent="0.3">
      <c r="A6" s="7" t="s">
        <v>14</v>
      </c>
      <c r="B6" s="7">
        <v>1250</v>
      </c>
    </row>
    <row r="7" spans="1:2" x14ac:dyDescent="0.3">
      <c r="A7" s="7" t="s">
        <v>19</v>
      </c>
      <c r="B7" s="7">
        <v>950</v>
      </c>
    </row>
    <row r="8" spans="1:2" x14ac:dyDescent="0.3">
      <c r="A8" s="7" t="s">
        <v>22</v>
      </c>
      <c r="B8" s="7">
        <v>5550</v>
      </c>
    </row>
    <row r="11" spans="1:2" x14ac:dyDescent="0.3">
      <c r="A11" s="9" t="s">
        <v>25</v>
      </c>
      <c r="B11" s="9" t="str">
        <f>_xlfn.XLOOKUP(MAX(B4:B7),B4:B7,A4:A7,,0)</f>
        <v>Mumbai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44C2-D83E-419F-B3FA-9E93DA70CE2C}">
  <dimension ref="A3:B12"/>
  <sheetViews>
    <sheetView workbookViewId="0">
      <selection activeCell="N15" sqref="N15"/>
    </sheetView>
  </sheetViews>
  <sheetFormatPr defaultRowHeight="14.4" x14ac:dyDescent="0.3"/>
  <cols>
    <col min="1" max="1" width="29" style="7" bestFit="1" customWidth="1"/>
    <col min="2" max="2" width="13.109375" style="7" bestFit="1" customWidth="1"/>
    <col min="3" max="16384" width="8.88671875" style="7"/>
  </cols>
  <sheetData>
    <row r="3" spans="1:2" x14ac:dyDescent="0.3">
      <c r="A3" s="8" t="s">
        <v>3</v>
      </c>
      <c r="B3" s="7" t="s">
        <v>26</v>
      </c>
    </row>
    <row r="4" spans="1:2" x14ac:dyDescent="0.3">
      <c r="A4" s="7" t="s">
        <v>15</v>
      </c>
      <c r="B4" s="7">
        <v>5</v>
      </c>
    </row>
    <row r="5" spans="1:2" x14ac:dyDescent="0.3">
      <c r="A5" s="7" t="s">
        <v>17</v>
      </c>
      <c r="B5" s="7">
        <v>5</v>
      </c>
    </row>
    <row r="6" spans="1:2" x14ac:dyDescent="0.3">
      <c r="A6" s="7" t="s">
        <v>9</v>
      </c>
      <c r="B6" s="7">
        <v>4</v>
      </c>
    </row>
    <row r="7" spans="1:2" x14ac:dyDescent="0.3">
      <c r="A7" s="7" t="s">
        <v>20</v>
      </c>
      <c r="B7" s="7">
        <v>2</v>
      </c>
    </row>
    <row r="8" spans="1:2" x14ac:dyDescent="0.3">
      <c r="A8" s="7" t="s">
        <v>12</v>
      </c>
      <c r="B8" s="7">
        <v>2</v>
      </c>
    </row>
    <row r="9" spans="1:2" x14ac:dyDescent="0.3">
      <c r="A9" s="7" t="s">
        <v>22</v>
      </c>
      <c r="B9" s="7">
        <v>18</v>
      </c>
    </row>
    <row r="12" spans="1:2" x14ac:dyDescent="0.3">
      <c r="A12" s="9" t="s">
        <v>27</v>
      </c>
      <c r="B12" s="9" t="str">
        <f>_xlfn.XLOOKUP(MAX(B4:B8),B4:B8,A4:A8,,0)</f>
        <v>Wok Express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9515-3C23-4CA2-BB64-1E1FEEFC6717}">
  <dimension ref="A3:B12"/>
  <sheetViews>
    <sheetView workbookViewId="0">
      <selection activeCell="B12" sqref="B12"/>
    </sheetView>
  </sheetViews>
  <sheetFormatPr defaultRowHeight="14.4" x14ac:dyDescent="0.3"/>
  <cols>
    <col min="1" max="1" width="24.109375" style="7" bestFit="1" customWidth="1"/>
    <col min="2" max="2" width="14.88671875" style="7" bestFit="1" customWidth="1"/>
    <col min="3" max="16384" width="8.88671875" style="7"/>
  </cols>
  <sheetData>
    <row r="3" spans="1:2" x14ac:dyDescent="0.3">
      <c r="A3" s="8" t="s">
        <v>3</v>
      </c>
      <c r="B3" s="7" t="s">
        <v>23</v>
      </c>
    </row>
    <row r="4" spans="1:2" x14ac:dyDescent="0.3">
      <c r="A4" s="7" t="s">
        <v>20</v>
      </c>
      <c r="B4" s="7">
        <v>900</v>
      </c>
    </row>
    <row r="5" spans="1:2" x14ac:dyDescent="0.3">
      <c r="A5" s="7" t="s">
        <v>12</v>
      </c>
      <c r="B5" s="7">
        <v>1000</v>
      </c>
    </row>
    <row r="6" spans="1:2" x14ac:dyDescent="0.3">
      <c r="A6" s="7" t="s">
        <v>17</v>
      </c>
      <c r="B6" s="7">
        <v>1000</v>
      </c>
    </row>
    <row r="7" spans="1:2" x14ac:dyDescent="0.3">
      <c r="A7" s="7" t="s">
        <v>15</v>
      </c>
      <c r="B7" s="7">
        <v>1250</v>
      </c>
    </row>
    <row r="8" spans="1:2" x14ac:dyDescent="0.3">
      <c r="A8" s="7" t="s">
        <v>9</v>
      </c>
      <c r="B8" s="7">
        <v>1400</v>
      </c>
    </row>
    <row r="9" spans="1:2" x14ac:dyDescent="0.3">
      <c r="A9" s="7" t="s">
        <v>22</v>
      </c>
      <c r="B9" s="7">
        <v>5550</v>
      </c>
    </row>
    <row r="12" spans="1:2" x14ac:dyDescent="0.3">
      <c r="A12" s="9" t="s">
        <v>28</v>
      </c>
      <c r="B12" s="9" t="str">
        <f>_xlfn.XLOOKUP(MAX(B4:B8),B4:B8,A4:A8,,0)</f>
        <v>Spice Hub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6B4C-382F-4723-96A9-C843D6F67DFB}">
  <dimension ref="A3:B11"/>
  <sheetViews>
    <sheetView workbookViewId="0">
      <selection activeCell="B11" sqref="B11"/>
    </sheetView>
  </sheetViews>
  <sheetFormatPr defaultRowHeight="14.4" x14ac:dyDescent="0.3"/>
  <cols>
    <col min="1" max="1" width="20.21875" style="7" bestFit="1" customWidth="1"/>
    <col min="2" max="2" width="26.21875" style="7" bestFit="1" customWidth="1"/>
    <col min="3" max="3" width="14.88671875" style="7" bestFit="1" customWidth="1"/>
    <col min="4" max="16384" width="8.88671875" style="7"/>
  </cols>
  <sheetData>
    <row r="3" spans="1:2" x14ac:dyDescent="0.3">
      <c r="A3" s="8" t="s">
        <v>4</v>
      </c>
      <c r="B3" s="7" t="s">
        <v>29</v>
      </c>
    </row>
    <row r="4" spans="1:2" x14ac:dyDescent="0.3">
      <c r="A4" s="7" t="s">
        <v>16</v>
      </c>
      <c r="B4" s="7">
        <v>36.5</v>
      </c>
    </row>
    <row r="5" spans="1:2" x14ac:dyDescent="0.3">
      <c r="A5" s="7" t="s">
        <v>18</v>
      </c>
      <c r="B5" s="7">
        <v>21</v>
      </c>
    </row>
    <row r="6" spans="1:2" x14ac:dyDescent="0.3">
      <c r="A6" s="7" t="s">
        <v>10</v>
      </c>
      <c r="B6" s="7">
        <v>35</v>
      </c>
    </row>
    <row r="7" spans="1:2" x14ac:dyDescent="0.3">
      <c r="A7" s="7" t="s">
        <v>13</v>
      </c>
      <c r="B7" s="7">
        <v>28.5</v>
      </c>
    </row>
    <row r="8" spans="1:2" x14ac:dyDescent="0.3">
      <c r="A8" s="7" t="s">
        <v>22</v>
      </c>
      <c r="B8" s="7">
        <v>31.2</v>
      </c>
    </row>
    <row r="11" spans="1:2" x14ac:dyDescent="0.3">
      <c r="A11" s="9" t="s">
        <v>30</v>
      </c>
      <c r="B11" s="9" t="str">
        <f>_xlfn.XLOOKUP(MIN(B4:B7),B4:B7,A4:A7,,0)</f>
        <v>Fast Food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1182-74D0-4168-8503-2A3AD26FC5BB}">
  <dimension ref="A1:I11"/>
  <sheetViews>
    <sheetView tabSelected="1" zoomScale="98" workbookViewId="0">
      <selection activeCell="J22" sqref="J22"/>
    </sheetView>
  </sheetViews>
  <sheetFormatPr defaultRowHeight="14.4" x14ac:dyDescent="0.3"/>
  <cols>
    <col min="1" max="1" width="7.5546875" bestFit="1" customWidth="1"/>
    <col min="2" max="2" width="13.21875" style="1" bestFit="1" customWidth="1"/>
    <col min="3" max="3" width="9.77734375" bestFit="1" customWidth="1"/>
    <col min="4" max="4" width="12.109375" bestFit="1" customWidth="1"/>
    <col min="6" max="6" width="16.33203125" bestFit="1" customWidth="1"/>
    <col min="7" max="7" width="6.5546875" bestFit="1" customWidth="1"/>
    <col min="8" max="8" width="8.33203125" bestFit="1" customWidth="1"/>
  </cols>
  <sheetData>
    <row r="1" spans="1:9" x14ac:dyDescent="0.3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21</v>
      </c>
    </row>
    <row r="2" spans="1:9" x14ac:dyDescent="0.3">
      <c r="A2" s="3">
        <v>5001</v>
      </c>
      <c r="B2" s="4">
        <v>46091</v>
      </c>
      <c r="C2" s="3" t="s">
        <v>8</v>
      </c>
      <c r="D2" s="3" t="s">
        <v>9</v>
      </c>
      <c r="E2" s="3" t="s">
        <v>10</v>
      </c>
      <c r="F2" s="3">
        <v>30</v>
      </c>
      <c r="G2" s="3">
        <v>2</v>
      </c>
      <c r="H2" s="3">
        <v>350</v>
      </c>
      <c r="I2" s="7">
        <f>G2*H2</f>
        <v>700</v>
      </c>
    </row>
    <row r="3" spans="1:9" x14ac:dyDescent="0.3">
      <c r="A3" s="3">
        <v>5002</v>
      </c>
      <c r="B3" s="4">
        <v>46091</v>
      </c>
      <c r="C3" s="3" t="s">
        <v>11</v>
      </c>
      <c r="D3" s="3" t="s">
        <v>12</v>
      </c>
      <c r="E3" s="3" t="s">
        <v>13</v>
      </c>
      <c r="F3" s="3">
        <v>25</v>
      </c>
      <c r="G3" s="3">
        <v>1</v>
      </c>
      <c r="H3" s="3">
        <v>500</v>
      </c>
      <c r="I3" s="7">
        <f t="shared" ref="I3:I11" si="0">G3*H3</f>
        <v>500</v>
      </c>
    </row>
    <row r="4" spans="1:9" x14ac:dyDescent="0.3">
      <c r="A4" s="3">
        <v>5003</v>
      </c>
      <c r="B4" s="4">
        <v>46092</v>
      </c>
      <c r="C4" s="3" t="s">
        <v>14</v>
      </c>
      <c r="D4" s="3" t="s">
        <v>15</v>
      </c>
      <c r="E4" s="3" t="s">
        <v>16</v>
      </c>
      <c r="F4" s="3">
        <v>35</v>
      </c>
      <c r="G4" s="3">
        <v>3</v>
      </c>
      <c r="H4" s="3">
        <v>250</v>
      </c>
      <c r="I4" s="7">
        <f t="shared" si="0"/>
        <v>750</v>
      </c>
    </row>
    <row r="5" spans="1:9" x14ac:dyDescent="0.3">
      <c r="A5" s="3">
        <v>5004</v>
      </c>
      <c r="B5" s="4">
        <v>46092</v>
      </c>
      <c r="C5" s="3" t="s">
        <v>8</v>
      </c>
      <c r="D5" s="3" t="s">
        <v>17</v>
      </c>
      <c r="E5" s="3" t="s">
        <v>18</v>
      </c>
      <c r="F5" s="3">
        <v>20</v>
      </c>
      <c r="G5" s="3">
        <v>2</v>
      </c>
      <c r="H5" s="3">
        <v>200</v>
      </c>
      <c r="I5" s="7">
        <f t="shared" si="0"/>
        <v>400</v>
      </c>
    </row>
    <row r="6" spans="1:9" x14ac:dyDescent="0.3">
      <c r="A6" s="3">
        <v>5005</v>
      </c>
      <c r="B6" s="4">
        <v>46093</v>
      </c>
      <c r="C6" s="3" t="s">
        <v>19</v>
      </c>
      <c r="D6" s="3" t="s">
        <v>20</v>
      </c>
      <c r="E6" s="3" t="s">
        <v>10</v>
      </c>
      <c r="F6" s="3">
        <v>40</v>
      </c>
      <c r="G6" s="3">
        <v>1</v>
      </c>
      <c r="H6" s="3">
        <v>450</v>
      </c>
      <c r="I6" s="7">
        <f t="shared" si="0"/>
        <v>450</v>
      </c>
    </row>
    <row r="7" spans="1:9" x14ac:dyDescent="0.3">
      <c r="A7" s="3">
        <v>5006</v>
      </c>
      <c r="B7" s="4">
        <v>46093</v>
      </c>
      <c r="C7" s="3" t="s">
        <v>11</v>
      </c>
      <c r="D7" s="3" t="s">
        <v>9</v>
      </c>
      <c r="E7" s="3" t="s">
        <v>10</v>
      </c>
      <c r="F7" s="3">
        <v>28</v>
      </c>
      <c r="G7" s="3">
        <v>2</v>
      </c>
      <c r="H7" s="3">
        <v>350</v>
      </c>
      <c r="I7" s="7">
        <f t="shared" si="0"/>
        <v>700</v>
      </c>
    </row>
    <row r="8" spans="1:9" x14ac:dyDescent="0.3">
      <c r="A8" s="3">
        <v>5007</v>
      </c>
      <c r="B8" s="4">
        <v>46094</v>
      </c>
      <c r="C8" s="3" t="s">
        <v>14</v>
      </c>
      <c r="D8" s="3" t="s">
        <v>12</v>
      </c>
      <c r="E8" s="3" t="s">
        <v>13</v>
      </c>
      <c r="F8" s="3">
        <v>32</v>
      </c>
      <c r="G8" s="3">
        <v>1</v>
      </c>
      <c r="H8" s="3">
        <v>500</v>
      </c>
      <c r="I8" s="7">
        <f t="shared" si="0"/>
        <v>500</v>
      </c>
    </row>
    <row r="9" spans="1:9" x14ac:dyDescent="0.3">
      <c r="A9" s="3">
        <v>5008</v>
      </c>
      <c r="B9" s="4">
        <v>46094</v>
      </c>
      <c r="C9" s="3" t="s">
        <v>19</v>
      </c>
      <c r="D9" s="3" t="s">
        <v>15</v>
      </c>
      <c r="E9" s="3" t="s">
        <v>16</v>
      </c>
      <c r="F9" s="3">
        <v>38</v>
      </c>
      <c r="G9" s="3">
        <v>2</v>
      </c>
      <c r="H9" s="3">
        <v>250</v>
      </c>
      <c r="I9" s="7">
        <f t="shared" si="0"/>
        <v>500</v>
      </c>
    </row>
    <row r="10" spans="1:9" x14ac:dyDescent="0.3">
      <c r="A10" s="3">
        <v>5009</v>
      </c>
      <c r="B10" s="4">
        <v>46095</v>
      </c>
      <c r="C10" s="3" t="s">
        <v>8</v>
      </c>
      <c r="D10" s="3" t="s">
        <v>20</v>
      </c>
      <c r="E10" s="3" t="s">
        <v>10</v>
      </c>
      <c r="F10" s="3">
        <v>42</v>
      </c>
      <c r="G10" s="3">
        <v>1</v>
      </c>
      <c r="H10" s="3">
        <v>450</v>
      </c>
      <c r="I10" s="7">
        <f t="shared" si="0"/>
        <v>450</v>
      </c>
    </row>
    <row r="11" spans="1:9" x14ac:dyDescent="0.3">
      <c r="A11" s="3">
        <v>5010</v>
      </c>
      <c r="B11" s="4">
        <v>46095</v>
      </c>
      <c r="C11" s="3" t="s">
        <v>11</v>
      </c>
      <c r="D11" s="3" t="s">
        <v>17</v>
      </c>
      <c r="E11" s="3" t="s">
        <v>18</v>
      </c>
      <c r="F11" s="3">
        <v>22</v>
      </c>
      <c r="G11" s="3">
        <v>3</v>
      </c>
      <c r="H11" s="3">
        <v>200</v>
      </c>
      <c r="I11" s="7">
        <f t="shared" si="0"/>
        <v>600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 by Cuisine</vt:lpstr>
      <vt:lpstr>Revenue by City</vt:lpstr>
      <vt:lpstr>Orders by Restaurant</vt:lpstr>
      <vt:lpstr>Revenue by Restaurant</vt:lpstr>
      <vt:lpstr>Delivery_Time by Cuisine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2026-03-24T14:24:58Z</dcterms:created>
  <dcterms:modified xsi:type="dcterms:W3CDTF">2026-03-26T06:08:38Z</dcterms:modified>
</cp:coreProperties>
</file>